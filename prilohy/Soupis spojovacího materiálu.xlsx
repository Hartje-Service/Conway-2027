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0.11\Hartje_Sdílené\PRODUCTION\Výrobní manuál\Projekty\conway-2027\docs\prilohy\"/>
    </mc:Choice>
  </mc:AlternateContent>
  <xr:revisionPtr revIDLastSave="0" documentId="13_ncr:1_{C51F1537-FD61-40A8-93AA-3F2E423E7431}" xr6:coauthVersionLast="47" xr6:coauthVersionMax="47" xr10:uidLastSave="{00000000-0000-0000-0000-000000000000}"/>
  <bookViews>
    <workbookView xWindow="-120" yWindow="-120" windowWidth="29040" windowHeight="15720" xr2:uid="{754624A3-F4C5-42E0-9369-5418F4FB9EC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2" i="1"/>
  <c r="F13" i="1"/>
  <c r="F3" i="1"/>
  <c r="N4" i="1"/>
  <c r="N5" i="1"/>
  <c r="N6" i="1"/>
  <c r="N7" i="1"/>
  <c r="N8" i="1"/>
  <c r="N9" i="1"/>
  <c r="N12" i="1"/>
  <c r="N13" i="1"/>
  <c r="N3" i="1"/>
  <c r="M4" i="1"/>
  <c r="M5" i="1"/>
  <c r="M6" i="1"/>
  <c r="M7" i="1"/>
  <c r="M8" i="1"/>
  <c r="M9" i="1"/>
  <c r="M12" i="1"/>
  <c r="M13" i="1"/>
  <c r="M3" i="1"/>
  <c r="L4" i="1"/>
  <c r="L5" i="1"/>
  <c r="L6" i="1"/>
  <c r="L7" i="1"/>
  <c r="L8" i="1"/>
  <c r="L9" i="1"/>
  <c r="L12" i="1"/>
  <c r="L13" i="1"/>
  <c r="L3" i="1"/>
  <c r="K4" i="1"/>
  <c r="K5" i="1"/>
  <c r="K6" i="1"/>
  <c r="K7" i="1"/>
  <c r="K8" i="1"/>
  <c r="K9" i="1"/>
  <c r="K12" i="1"/>
  <c r="K13" i="1"/>
  <c r="K3" i="1"/>
  <c r="J4" i="1"/>
  <c r="J5" i="1"/>
  <c r="J6" i="1"/>
  <c r="J7" i="1"/>
  <c r="J8" i="1"/>
  <c r="J9" i="1"/>
  <c r="J12" i="1"/>
  <c r="J13" i="1"/>
  <c r="J3" i="1"/>
  <c r="I4" i="1"/>
  <c r="I5" i="1"/>
  <c r="I6" i="1"/>
  <c r="I7" i="1"/>
  <c r="I8" i="1"/>
  <c r="I9" i="1"/>
  <c r="I12" i="1"/>
  <c r="I13" i="1"/>
  <c r="I3" i="1"/>
  <c r="H4" i="1"/>
  <c r="H5" i="1"/>
  <c r="H6" i="1"/>
  <c r="H7" i="1"/>
  <c r="H8" i="1"/>
  <c r="H9" i="1"/>
  <c r="H12" i="1"/>
  <c r="H13" i="1"/>
  <c r="H3" i="1"/>
  <c r="G4" i="1"/>
  <c r="G5" i="1"/>
  <c r="G6" i="1"/>
  <c r="G7" i="1"/>
  <c r="G8" i="1"/>
  <c r="G9" i="1"/>
  <c r="G12" i="1"/>
  <c r="G13" i="1"/>
  <c r="G3" i="1"/>
  <c r="B27" i="1"/>
</calcChain>
</file>

<file path=xl/sharedStrings.xml><?xml version="1.0" encoding="utf-8"?>
<sst xmlns="http://schemas.openxmlformats.org/spreadsheetml/2006/main" count="46" uniqueCount="31">
  <si>
    <t>M5x8</t>
  </si>
  <si>
    <t>C 1.0</t>
  </si>
  <si>
    <t>Podložky</t>
  </si>
  <si>
    <t>M5</t>
  </si>
  <si>
    <t>Model -&gt;</t>
  </si>
  <si>
    <t>kód</t>
  </si>
  <si>
    <t>Název</t>
  </si>
  <si>
    <t>C 2.0</t>
  </si>
  <si>
    <t>M5x14</t>
  </si>
  <si>
    <t>Din 912</t>
  </si>
  <si>
    <t>Půlkulatá</t>
  </si>
  <si>
    <t>M5x10</t>
  </si>
  <si>
    <t>Půlkulatá č.</t>
  </si>
  <si>
    <t>M6</t>
  </si>
  <si>
    <t>S 2.0 wave</t>
  </si>
  <si>
    <t>S 2.0 herren</t>
  </si>
  <si>
    <t>M6x12</t>
  </si>
  <si>
    <t>M5x25</t>
  </si>
  <si>
    <t>M6x16</t>
  </si>
  <si>
    <t>M6x14</t>
  </si>
  <si>
    <t>Model</t>
  </si>
  <si>
    <t>Počet ks</t>
  </si>
  <si>
    <t>C 4.0</t>
  </si>
  <si>
    <t>C 1.0 N</t>
  </si>
  <si>
    <t>C 1.0 B</t>
  </si>
  <si>
    <t>C 2.0 B</t>
  </si>
  <si>
    <t>C 4.0 B</t>
  </si>
  <si>
    <t>S 2.0</t>
  </si>
  <si>
    <t>S 3.0</t>
  </si>
  <si>
    <t>odhad spojováku</t>
  </si>
  <si>
    <t xml:space="preserve">S 2.0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</si>
</sst>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0" xfId="0" applyFont="1" applyBorder="1"/>
    <xf numFmtId="0" fontId="0" fillId="0" borderId="20" xfId="0" applyBorder="1"/>
    <xf numFmtId="0" fontId="1" fillId="2" borderId="0" xfId="0" applyFont="1" applyFill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55BE-C58B-48E6-8B2B-9CA33BDF40C1}">
  <dimension ref="A1:N27"/>
  <sheetViews>
    <sheetView tabSelected="1" workbookViewId="0">
      <selection activeCell="H16" sqref="H16"/>
    </sheetView>
  </sheetViews>
  <sheetFormatPr defaultRowHeight="15" x14ac:dyDescent="0.25"/>
  <cols>
    <col min="1" max="1" width="12.7109375" style="1" bestFit="1" customWidth="1"/>
    <col min="2" max="4" width="9.140625" style="1"/>
    <col min="5" max="5" width="12.42578125" style="1" customWidth="1"/>
    <col min="6" max="6" width="16.42578125" style="1" bestFit="1" customWidth="1"/>
    <col min="7" max="7" width="11.140625" style="1" bestFit="1" customWidth="1"/>
    <col min="9" max="9" width="16.42578125" bestFit="1" customWidth="1"/>
  </cols>
  <sheetData>
    <row r="1" spans="1:14" ht="15.75" thickBot="1" x14ac:dyDescent="0.3">
      <c r="A1" s="19" t="s">
        <v>4</v>
      </c>
      <c r="B1" s="20"/>
      <c r="C1" s="5" t="s">
        <v>1</v>
      </c>
      <c r="D1" s="5" t="s">
        <v>14</v>
      </c>
      <c r="E1" s="6" t="s">
        <v>15</v>
      </c>
      <c r="F1" t="s">
        <v>29</v>
      </c>
      <c r="G1" s="25"/>
    </row>
    <row r="2" spans="1:14" ht="15.75" thickBot="1" x14ac:dyDescent="0.3">
      <c r="A2" s="2" t="s">
        <v>5</v>
      </c>
      <c r="B2" s="2" t="s">
        <v>6</v>
      </c>
      <c r="C2" s="5"/>
      <c r="D2" s="5"/>
      <c r="E2" s="6"/>
      <c r="F2" s="26">
        <v>2027</v>
      </c>
      <c r="G2" s="1" t="s">
        <v>1</v>
      </c>
      <c r="H2" s="1" t="s">
        <v>7</v>
      </c>
      <c r="I2" s="1" t="s">
        <v>22</v>
      </c>
      <c r="J2" s="1" t="s">
        <v>23</v>
      </c>
      <c r="K2" s="1" t="s">
        <v>25</v>
      </c>
      <c r="L2" s="1" t="s">
        <v>26</v>
      </c>
      <c r="M2" s="1" t="s">
        <v>30</v>
      </c>
      <c r="N2" s="1" t="s">
        <v>28</v>
      </c>
    </row>
    <row r="3" spans="1:14" x14ac:dyDescent="0.25">
      <c r="A3" s="13" t="s">
        <v>10</v>
      </c>
      <c r="B3" s="28" t="s">
        <v>0</v>
      </c>
      <c r="C3" s="7">
        <v>6</v>
      </c>
      <c r="D3" s="7">
        <v>9</v>
      </c>
      <c r="E3" s="8">
        <v>13</v>
      </c>
      <c r="F3" s="27">
        <f>SUM(G3:N3)</f>
        <v>97500</v>
      </c>
      <c r="G3">
        <f>$B$17*C3</f>
        <v>9000</v>
      </c>
      <c r="H3">
        <f>$B$18*C3</f>
        <v>15000</v>
      </c>
      <c r="I3">
        <f>$B$19*C3</f>
        <v>15000</v>
      </c>
      <c r="J3">
        <f>$B$20*C3</f>
        <v>9600</v>
      </c>
      <c r="K3">
        <f>$B$23*C3</f>
        <v>18600</v>
      </c>
      <c r="L3">
        <f>$B$24*C3</f>
        <v>10800</v>
      </c>
      <c r="M3">
        <f>$B$25*E3</f>
        <v>13000</v>
      </c>
      <c r="N3">
        <f>$B$26*E3</f>
        <v>6500</v>
      </c>
    </row>
    <row r="4" spans="1:14" x14ac:dyDescent="0.25">
      <c r="A4" s="16" t="s">
        <v>9</v>
      </c>
      <c r="B4" s="29" t="s">
        <v>8</v>
      </c>
      <c r="C4" s="14">
        <v>6</v>
      </c>
      <c r="D4" s="14"/>
      <c r="E4" s="15"/>
      <c r="F4" s="27">
        <f t="shared" ref="F4:F13" si="0">SUM(G4:N4)</f>
        <v>78000</v>
      </c>
      <c r="G4">
        <f t="shared" ref="G4:G13" si="1">$B$17*C4</f>
        <v>9000</v>
      </c>
      <c r="H4">
        <f t="shared" ref="H4:H13" si="2">$B$18*C4</f>
        <v>15000</v>
      </c>
      <c r="I4">
        <f t="shared" ref="I4:I13" si="3">$B$19*C4</f>
        <v>15000</v>
      </c>
      <c r="J4">
        <f t="shared" ref="J4:J13" si="4">$B$20*C4</f>
        <v>9600</v>
      </c>
      <c r="K4">
        <f t="shared" ref="K4:K13" si="5">$B$23*C4</f>
        <v>18600</v>
      </c>
      <c r="L4">
        <f t="shared" ref="L4:L13" si="6">$B$24*C4</f>
        <v>10800</v>
      </c>
      <c r="M4">
        <f t="shared" ref="M4:M13" si="7">$B$25*E4</f>
        <v>0</v>
      </c>
      <c r="N4">
        <f t="shared" ref="N4:N13" si="8">$B$26*E4</f>
        <v>0</v>
      </c>
    </row>
    <row r="5" spans="1:14" x14ac:dyDescent="0.25">
      <c r="A5" s="3" t="s">
        <v>12</v>
      </c>
      <c r="B5" s="30" t="s">
        <v>11</v>
      </c>
      <c r="C5" s="1">
        <v>2</v>
      </c>
      <c r="D5" s="1">
        <v>2</v>
      </c>
      <c r="E5" s="12">
        <v>2</v>
      </c>
      <c r="F5" s="27">
        <f t="shared" si="0"/>
        <v>29000</v>
      </c>
      <c r="G5">
        <f t="shared" si="1"/>
        <v>3000</v>
      </c>
      <c r="H5">
        <f t="shared" si="2"/>
        <v>5000</v>
      </c>
      <c r="I5">
        <f t="shared" si="3"/>
        <v>5000</v>
      </c>
      <c r="J5">
        <f t="shared" si="4"/>
        <v>3200</v>
      </c>
      <c r="K5">
        <f t="shared" si="5"/>
        <v>6200</v>
      </c>
      <c r="L5">
        <f t="shared" si="6"/>
        <v>3600</v>
      </c>
      <c r="M5">
        <f t="shared" si="7"/>
        <v>2000</v>
      </c>
      <c r="N5">
        <f t="shared" si="8"/>
        <v>1000</v>
      </c>
    </row>
    <row r="6" spans="1:14" x14ac:dyDescent="0.25">
      <c r="A6" s="16" t="s">
        <v>9</v>
      </c>
      <c r="B6" s="31" t="s">
        <v>16</v>
      </c>
      <c r="C6" s="17">
        <v>1</v>
      </c>
      <c r="D6" s="17"/>
      <c r="E6" s="18"/>
      <c r="F6" s="27">
        <f t="shared" si="0"/>
        <v>13000</v>
      </c>
      <c r="G6">
        <f t="shared" si="1"/>
        <v>1500</v>
      </c>
      <c r="H6">
        <f t="shared" si="2"/>
        <v>2500</v>
      </c>
      <c r="I6">
        <f t="shared" si="3"/>
        <v>2500</v>
      </c>
      <c r="J6">
        <f t="shared" si="4"/>
        <v>1600</v>
      </c>
      <c r="K6">
        <f t="shared" si="5"/>
        <v>3100</v>
      </c>
      <c r="L6">
        <f t="shared" si="6"/>
        <v>1800</v>
      </c>
      <c r="M6">
        <f t="shared" si="7"/>
        <v>0</v>
      </c>
      <c r="N6">
        <f t="shared" si="8"/>
        <v>0</v>
      </c>
    </row>
    <row r="7" spans="1:14" x14ac:dyDescent="0.25">
      <c r="A7" s="16" t="s">
        <v>9</v>
      </c>
      <c r="B7" s="30" t="s">
        <v>17</v>
      </c>
      <c r="C7" s="1">
        <v>2</v>
      </c>
      <c r="E7" s="12"/>
      <c r="F7" s="27">
        <f t="shared" si="0"/>
        <v>26000</v>
      </c>
      <c r="G7">
        <f t="shared" si="1"/>
        <v>3000</v>
      </c>
      <c r="H7">
        <f t="shared" si="2"/>
        <v>5000</v>
      </c>
      <c r="I7">
        <f t="shared" si="3"/>
        <v>5000</v>
      </c>
      <c r="J7">
        <f t="shared" si="4"/>
        <v>3200</v>
      </c>
      <c r="K7">
        <f t="shared" si="5"/>
        <v>6200</v>
      </c>
      <c r="L7">
        <f t="shared" si="6"/>
        <v>3600</v>
      </c>
      <c r="M7">
        <f t="shared" si="7"/>
        <v>0</v>
      </c>
      <c r="N7">
        <f t="shared" si="8"/>
        <v>0</v>
      </c>
    </row>
    <row r="8" spans="1:14" x14ac:dyDescent="0.25">
      <c r="A8" s="16" t="s">
        <v>9</v>
      </c>
      <c r="B8" s="30" t="s">
        <v>18</v>
      </c>
      <c r="C8" s="17">
        <v>2</v>
      </c>
      <c r="D8" s="17"/>
      <c r="E8" s="18"/>
      <c r="F8" s="27">
        <f t="shared" si="0"/>
        <v>26000</v>
      </c>
      <c r="G8">
        <f t="shared" si="1"/>
        <v>3000</v>
      </c>
      <c r="H8">
        <f t="shared" si="2"/>
        <v>5000</v>
      </c>
      <c r="I8">
        <f t="shared" si="3"/>
        <v>5000</v>
      </c>
      <c r="J8">
        <f t="shared" si="4"/>
        <v>3200</v>
      </c>
      <c r="K8">
        <f t="shared" si="5"/>
        <v>6200</v>
      </c>
      <c r="L8">
        <f t="shared" si="6"/>
        <v>3600</v>
      </c>
      <c r="M8">
        <f t="shared" si="7"/>
        <v>0</v>
      </c>
      <c r="N8">
        <f t="shared" si="8"/>
        <v>0</v>
      </c>
    </row>
    <row r="9" spans="1:14" ht="15.75" thickBot="1" x14ac:dyDescent="0.3">
      <c r="A9" s="16" t="s">
        <v>9</v>
      </c>
      <c r="B9" s="30" t="s">
        <v>19</v>
      </c>
      <c r="D9" s="1">
        <v>1</v>
      </c>
      <c r="E9" s="12">
        <v>1</v>
      </c>
      <c r="F9" s="27">
        <f t="shared" si="0"/>
        <v>1500</v>
      </c>
      <c r="G9">
        <f t="shared" si="1"/>
        <v>0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0</v>
      </c>
      <c r="L9">
        <f t="shared" si="6"/>
        <v>0</v>
      </c>
      <c r="M9">
        <f t="shared" si="7"/>
        <v>1000</v>
      </c>
      <c r="N9">
        <f t="shared" si="8"/>
        <v>500</v>
      </c>
    </row>
    <row r="10" spans="1:14" ht="15.75" thickBot="1" x14ac:dyDescent="0.3">
      <c r="A10" s="19" t="s">
        <v>2</v>
      </c>
      <c r="B10" s="21"/>
      <c r="C10" s="5"/>
      <c r="D10" s="5"/>
      <c r="E10" s="6"/>
      <c r="F10"/>
      <c r="G10"/>
    </row>
    <row r="11" spans="1:14" ht="15.75" thickBot="1" x14ac:dyDescent="0.3">
      <c r="A11" s="4" t="s">
        <v>5</v>
      </c>
      <c r="B11" s="4" t="s">
        <v>6</v>
      </c>
      <c r="C11" s="10"/>
      <c r="D11" s="10"/>
      <c r="E11" s="11"/>
      <c r="F11"/>
      <c r="G11"/>
    </row>
    <row r="12" spans="1:14" x14ac:dyDescent="0.25">
      <c r="A12" s="33"/>
      <c r="B12" s="34" t="s">
        <v>3</v>
      </c>
      <c r="C12" s="35">
        <v>9</v>
      </c>
      <c r="D12" s="36">
        <v>9</v>
      </c>
      <c r="E12" s="37">
        <v>13</v>
      </c>
      <c r="F12" s="27">
        <f t="shared" si="0"/>
        <v>136500</v>
      </c>
      <c r="G12">
        <f t="shared" si="1"/>
        <v>13500</v>
      </c>
      <c r="H12">
        <f t="shared" si="2"/>
        <v>22500</v>
      </c>
      <c r="I12">
        <f t="shared" si="3"/>
        <v>22500</v>
      </c>
      <c r="J12">
        <f t="shared" si="4"/>
        <v>14400</v>
      </c>
      <c r="K12">
        <f t="shared" si="5"/>
        <v>27900</v>
      </c>
      <c r="L12">
        <f t="shared" si="6"/>
        <v>16200</v>
      </c>
      <c r="M12">
        <f t="shared" si="7"/>
        <v>13000</v>
      </c>
      <c r="N12">
        <f t="shared" si="8"/>
        <v>6500</v>
      </c>
    </row>
    <row r="13" spans="1:14" ht="15.75" thickBot="1" x14ac:dyDescent="0.3">
      <c r="A13" s="4"/>
      <c r="B13" s="32" t="s">
        <v>13</v>
      </c>
      <c r="C13" s="9">
        <v>1</v>
      </c>
      <c r="D13" s="10">
        <v>2</v>
      </c>
      <c r="E13" s="11">
        <v>2</v>
      </c>
      <c r="F13" s="27">
        <f t="shared" si="0"/>
        <v>16000</v>
      </c>
      <c r="G13">
        <f t="shared" si="1"/>
        <v>1500</v>
      </c>
      <c r="H13">
        <f t="shared" si="2"/>
        <v>2500</v>
      </c>
      <c r="I13">
        <f t="shared" si="3"/>
        <v>2500</v>
      </c>
      <c r="J13">
        <f t="shared" si="4"/>
        <v>1600</v>
      </c>
      <c r="K13">
        <f t="shared" si="5"/>
        <v>3100</v>
      </c>
      <c r="L13">
        <f t="shared" si="6"/>
        <v>1800</v>
      </c>
      <c r="M13">
        <f t="shared" si="7"/>
        <v>2000</v>
      </c>
      <c r="N13">
        <f t="shared" si="8"/>
        <v>1000</v>
      </c>
    </row>
    <row r="16" spans="1:14" x14ac:dyDescent="0.25">
      <c r="A16" s="22" t="s">
        <v>20</v>
      </c>
      <c r="B16" s="22" t="s">
        <v>21</v>
      </c>
    </row>
    <row r="17" spans="1:2" x14ac:dyDescent="0.25">
      <c r="A17" s="23" t="s">
        <v>1</v>
      </c>
      <c r="B17" s="23">
        <v>1500</v>
      </c>
    </row>
    <row r="18" spans="1:2" x14ac:dyDescent="0.25">
      <c r="A18" s="23" t="s">
        <v>7</v>
      </c>
      <c r="B18" s="23">
        <v>2500</v>
      </c>
    </row>
    <row r="19" spans="1:2" x14ac:dyDescent="0.25">
      <c r="A19" s="23" t="s">
        <v>22</v>
      </c>
      <c r="B19" s="23">
        <v>2500</v>
      </c>
    </row>
    <row r="20" spans="1:2" x14ac:dyDescent="0.25">
      <c r="A20" s="23" t="s">
        <v>23</v>
      </c>
      <c r="B20" s="23">
        <v>1600</v>
      </c>
    </row>
    <row r="21" spans="1:2" x14ac:dyDescent="0.25">
      <c r="A21" s="23" t="s">
        <v>24</v>
      </c>
      <c r="B21" s="23">
        <v>300</v>
      </c>
    </row>
    <row r="22" spans="1:2" x14ac:dyDescent="0.25">
      <c r="A22" s="23" t="s">
        <v>23</v>
      </c>
      <c r="B22" s="23">
        <v>0</v>
      </c>
    </row>
    <row r="23" spans="1:2" x14ac:dyDescent="0.25">
      <c r="A23" s="23" t="s">
        <v>25</v>
      </c>
      <c r="B23" s="23">
        <v>3100</v>
      </c>
    </row>
    <row r="24" spans="1:2" x14ac:dyDescent="0.25">
      <c r="A24" s="23" t="s">
        <v>26</v>
      </c>
      <c r="B24" s="23">
        <v>1800</v>
      </c>
    </row>
    <row r="25" spans="1:2" x14ac:dyDescent="0.25">
      <c r="A25" s="23" t="s">
        <v>27</v>
      </c>
      <c r="B25" s="23">
        <v>1000</v>
      </c>
    </row>
    <row r="26" spans="1:2" x14ac:dyDescent="0.25">
      <c r="A26" s="23" t="s">
        <v>28</v>
      </c>
      <c r="B26" s="23">
        <v>500</v>
      </c>
    </row>
    <row r="27" spans="1:2" x14ac:dyDescent="0.25">
      <c r="A27"/>
      <c r="B27" s="24">
        <f>SUM(B17:B26)</f>
        <v>14800</v>
      </c>
    </row>
  </sheetData>
  <mergeCells count="2">
    <mergeCell ref="A1:B1"/>
    <mergeCell ref="A10:B10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Sekanina</dc:creator>
  <cp:lastModifiedBy>Tomáš Sekanina</cp:lastModifiedBy>
  <dcterms:created xsi:type="dcterms:W3CDTF">2026-06-15T08:05:00Z</dcterms:created>
  <dcterms:modified xsi:type="dcterms:W3CDTF">2026-09-15T10:21:01Z</dcterms:modified>
</cp:coreProperties>
</file>