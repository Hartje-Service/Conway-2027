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Z:\PRODUCTION\Výrobní manuál\Projekty\conway-2027\docs\prilohy\"/>
    </mc:Choice>
  </mc:AlternateContent>
  <xr:revisionPtr revIDLastSave="0" documentId="13_ncr:1_{32EFDAB2-E00B-4ACF-A5D7-D6E66EAFBF88}" xr6:coauthVersionLast="47" xr6:coauthVersionMax="47" xr10:uidLastSave="{00000000-0000-0000-0000-000000000000}"/>
  <bookViews>
    <workbookView xWindow="-120" yWindow="-120" windowWidth="29040" windowHeight="15720" xr2:uid="{754624A3-F4C5-42E0-9369-5418F4FB9EC3}"/>
  </bookViews>
  <sheets>
    <sheet name="Lis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7" i="1" l="1"/>
  <c r="F14" i="1"/>
  <c r="F15" i="1"/>
  <c r="M14" i="1"/>
  <c r="N14" i="1"/>
  <c r="M15" i="1"/>
  <c r="N15" i="1"/>
  <c r="G6" i="1"/>
  <c r="F6" i="1" s="1"/>
  <c r="H6" i="1"/>
  <c r="I6" i="1"/>
  <c r="J6" i="1"/>
  <c r="K6" i="1"/>
  <c r="L6" i="1"/>
  <c r="M6" i="1"/>
  <c r="N6" i="1"/>
  <c r="G7" i="1"/>
  <c r="H7" i="1"/>
  <c r="I7" i="1"/>
  <c r="J7" i="1"/>
  <c r="K7" i="1"/>
  <c r="L7" i="1"/>
  <c r="M7" i="1"/>
  <c r="N7" i="1"/>
  <c r="G8" i="1"/>
  <c r="F8" i="1" s="1"/>
  <c r="H8" i="1"/>
  <c r="I8" i="1"/>
  <c r="J8" i="1"/>
  <c r="K8" i="1"/>
  <c r="L8" i="1"/>
  <c r="M8" i="1"/>
  <c r="N8" i="1"/>
  <c r="G9" i="1"/>
  <c r="F9" i="1" s="1"/>
  <c r="H9" i="1"/>
  <c r="I9" i="1"/>
  <c r="J9" i="1"/>
  <c r="K9" i="1"/>
  <c r="L9" i="1"/>
  <c r="M9" i="1"/>
  <c r="N9" i="1"/>
  <c r="G15" i="1"/>
  <c r="H15" i="1"/>
  <c r="I15" i="1"/>
  <c r="J15" i="1"/>
  <c r="K15" i="1"/>
  <c r="L15" i="1"/>
  <c r="G14" i="1"/>
  <c r="H14" i="1"/>
  <c r="I14" i="1"/>
  <c r="J14" i="1"/>
  <c r="K14" i="1"/>
  <c r="L14" i="1"/>
  <c r="N5" i="1"/>
  <c r="N4" i="1"/>
  <c r="N11" i="1"/>
  <c r="N10" i="1"/>
  <c r="N13" i="1"/>
  <c r="N12" i="1"/>
  <c r="N18" i="1"/>
  <c r="N19" i="1"/>
  <c r="N3" i="1"/>
  <c r="M5" i="1"/>
  <c r="M4" i="1"/>
  <c r="M11" i="1"/>
  <c r="M10" i="1"/>
  <c r="M13" i="1"/>
  <c r="M12" i="1"/>
  <c r="M18" i="1"/>
  <c r="M19" i="1"/>
  <c r="M3" i="1"/>
  <c r="L5" i="1"/>
  <c r="L4" i="1"/>
  <c r="L11" i="1"/>
  <c r="L10" i="1"/>
  <c r="L13" i="1"/>
  <c r="L12" i="1"/>
  <c r="L18" i="1"/>
  <c r="L19" i="1"/>
  <c r="L3" i="1"/>
  <c r="K5" i="1"/>
  <c r="K4" i="1"/>
  <c r="K11" i="1"/>
  <c r="K10" i="1"/>
  <c r="K13" i="1"/>
  <c r="K12" i="1"/>
  <c r="K18" i="1"/>
  <c r="K19" i="1"/>
  <c r="K3" i="1"/>
  <c r="J5" i="1"/>
  <c r="J4" i="1"/>
  <c r="J11" i="1"/>
  <c r="J10" i="1"/>
  <c r="J13" i="1"/>
  <c r="J12" i="1"/>
  <c r="J18" i="1"/>
  <c r="J19" i="1"/>
  <c r="J3" i="1"/>
  <c r="I5" i="1"/>
  <c r="I4" i="1"/>
  <c r="I11" i="1"/>
  <c r="I10" i="1"/>
  <c r="I13" i="1"/>
  <c r="I12" i="1"/>
  <c r="I18" i="1"/>
  <c r="I19" i="1"/>
  <c r="I3" i="1"/>
  <c r="H5" i="1"/>
  <c r="H4" i="1"/>
  <c r="H11" i="1"/>
  <c r="H10" i="1"/>
  <c r="H13" i="1"/>
  <c r="H12" i="1"/>
  <c r="H18" i="1"/>
  <c r="H19" i="1"/>
  <c r="H3" i="1"/>
  <c r="G5" i="1"/>
  <c r="G4" i="1"/>
  <c r="G11" i="1"/>
  <c r="G10" i="1"/>
  <c r="G13" i="1"/>
  <c r="G12" i="1"/>
  <c r="G18" i="1"/>
  <c r="G19" i="1"/>
  <c r="G3" i="1"/>
  <c r="B33" i="1"/>
  <c r="F12" i="1" l="1"/>
  <c r="F13" i="1"/>
  <c r="F4" i="1"/>
  <c r="F5" i="1"/>
  <c r="F19" i="1"/>
  <c r="F10" i="1"/>
  <c r="F11" i="1"/>
  <c r="F3" i="1"/>
  <c r="F18" i="1"/>
</calcChain>
</file>

<file path=xl/sharedStrings.xml><?xml version="1.0" encoding="utf-8"?>
<sst xmlns="http://schemas.openxmlformats.org/spreadsheetml/2006/main" count="58" uniqueCount="37">
  <si>
    <t>M5x8</t>
  </si>
  <si>
    <t>C 1.0</t>
  </si>
  <si>
    <t>Podložky</t>
  </si>
  <si>
    <t>M5</t>
  </si>
  <si>
    <t>Model -&gt;</t>
  </si>
  <si>
    <t>kód</t>
  </si>
  <si>
    <t>Název</t>
  </si>
  <si>
    <t>C 2.0</t>
  </si>
  <si>
    <t>M5x14</t>
  </si>
  <si>
    <t>Din 912</t>
  </si>
  <si>
    <t>Půlkulatá</t>
  </si>
  <si>
    <t>M5x10</t>
  </si>
  <si>
    <t>Půlkulatá č.</t>
  </si>
  <si>
    <t>M6</t>
  </si>
  <si>
    <t>S 2.0 wave</t>
  </si>
  <si>
    <t>S 2.0 herren</t>
  </si>
  <si>
    <t>M6x12</t>
  </si>
  <si>
    <t>M6x16</t>
  </si>
  <si>
    <t>M6x14</t>
  </si>
  <si>
    <t>Model</t>
  </si>
  <si>
    <t>Počet ks</t>
  </si>
  <si>
    <t>C 4.0</t>
  </si>
  <si>
    <t>C 1.0 N</t>
  </si>
  <si>
    <t>C 1.0 B</t>
  </si>
  <si>
    <t>C 2.0 B</t>
  </si>
  <si>
    <t>C 4.0 B</t>
  </si>
  <si>
    <t>S 2.0</t>
  </si>
  <si>
    <t>S 3.0</t>
  </si>
  <si>
    <t>odhad spojováku</t>
  </si>
  <si>
    <t xml:space="preserve">S 2.0 </t>
  </si>
  <si>
    <t>M5x30</t>
  </si>
  <si>
    <t>M5x16</t>
  </si>
  <si>
    <t>M5x20</t>
  </si>
  <si>
    <t>M5x22</t>
  </si>
  <si>
    <t>M6x25</t>
  </si>
  <si>
    <t>M6x30</t>
  </si>
  <si>
    <t>M5x25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</si>
</sst>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charset val="238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3" tint="0.89999084444715716"/>
        <bgColor indexed="64"/>
      </patternFill>
    </fill>
  </fills>
  <borders count="2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1" fillId="0" borderId="20" xfId="0" applyFont="1" applyBorder="1"/>
    <xf numFmtId="0" fontId="0" fillId="0" borderId="20" xfId="0" applyBorder="1"/>
    <xf numFmtId="0" fontId="0" fillId="0" borderId="0" xfId="0" applyAlignment="1">
      <alignment horizontal="center"/>
    </xf>
    <xf numFmtId="0" fontId="0" fillId="3" borderId="0" xfId="0" applyFill="1"/>
    <xf numFmtId="0" fontId="0" fillId="4" borderId="13" xfId="0" applyFill="1" applyBorder="1" applyAlignment="1">
      <alignment horizontal="center" vertical="center"/>
    </xf>
    <xf numFmtId="0" fontId="0" fillId="4" borderId="15" xfId="0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4" borderId="14" xfId="0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4" borderId="21" xfId="0" applyFill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/>
    <xf numFmtId="0" fontId="1" fillId="2" borderId="0" xfId="0" applyFont="1" applyFill="1" applyBorder="1"/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C755BE-C58B-48E6-8B2B-9CA33BDF40C1}">
  <dimension ref="A1:N33"/>
  <sheetViews>
    <sheetView tabSelected="1" workbookViewId="0">
      <selection activeCell="G27" sqref="G27"/>
    </sheetView>
  </sheetViews>
  <sheetFormatPr defaultRowHeight="15" x14ac:dyDescent="0.25"/>
  <cols>
    <col min="1" max="1" width="12.7109375" style="1" bestFit="1" customWidth="1"/>
    <col min="2" max="4" width="9.140625" style="1"/>
    <col min="5" max="5" width="12.42578125" style="1" customWidth="1"/>
    <col min="6" max="6" width="16.42578125" style="1" bestFit="1" customWidth="1"/>
    <col min="7" max="7" width="11.140625" style="1" bestFit="1" customWidth="1"/>
    <col min="9" max="9" width="8.28515625" customWidth="1"/>
  </cols>
  <sheetData>
    <row r="1" spans="1:14" ht="15.75" thickBot="1" x14ac:dyDescent="0.3">
      <c r="A1" s="33" t="s">
        <v>4</v>
      </c>
      <c r="B1" s="34"/>
      <c r="C1" s="5" t="s">
        <v>1</v>
      </c>
      <c r="D1" s="5" t="s">
        <v>14</v>
      </c>
      <c r="E1" s="6" t="s">
        <v>15</v>
      </c>
      <c r="F1" t="s">
        <v>28</v>
      </c>
    </row>
    <row r="2" spans="1:14" ht="15.75" thickBot="1" x14ac:dyDescent="0.3">
      <c r="A2" s="2" t="s">
        <v>5</v>
      </c>
      <c r="B2" s="2" t="s">
        <v>6</v>
      </c>
      <c r="C2" s="5"/>
      <c r="D2" s="5"/>
      <c r="E2" s="6"/>
      <c r="F2" s="21">
        <v>2027</v>
      </c>
      <c r="G2" s="1" t="s">
        <v>1</v>
      </c>
      <c r="H2" s="1" t="s">
        <v>7</v>
      </c>
      <c r="I2" s="1" t="s">
        <v>21</v>
      </c>
      <c r="J2" s="1" t="s">
        <v>22</v>
      </c>
      <c r="K2" s="1" t="s">
        <v>24</v>
      </c>
      <c r="L2" s="1" t="s">
        <v>25</v>
      </c>
      <c r="M2" s="1" t="s">
        <v>29</v>
      </c>
      <c r="N2" s="1" t="s">
        <v>27</v>
      </c>
    </row>
    <row r="3" spans="1:14" x14ac:dyDescent="0.25">
      <c r="A3" s="13" t="s">
        <v>10</v>
      </c>
      <c r="B3" s="23" t="s">
        <v>0</v>
      </c>
      <c r="C3" s="7">
        <v>8</v>
      </c>
      <c r="D3" s="7">
        <v>11</v>
      </c>
      <c r="E3" s="8">
        <v>15</v>
      </c>
      <c r="F3" s="22">
        <f>SUM(G3:N3)</f>
        <v>126500</v>
      </c>
      <c r="G3">
        <f>$B$23*C3</f>
        <v>12000</v>
      </c>
      <c r="H3">
        <f>$B$24*C3</f>
        <v>20000</v>
      </c>
      <c r="I3">
        <f>$B$25*C3</f>
        <v>20000</v>
      </c>
      <c r="J3">
        <f>$B$26*C3</f>
        <v>12800</v>
      </c>
      <c r="K3">
        <f>$B$29*C3</f>
        <v>24800</v>
      </c>
      <c r="L3">
        <f>$B$30*C3</f>
        <v>14400</v>
      </c>
      <c r="M3">
        <f>$B$31*E3</f>
        <v>15000</v>
      </c>
      <c r="N3">
        <f>$B$32*E3</f>
        <v>7500</v>
      </c>
    </row>
    <row r="4" spans="1:14" x14ac:dyDescent="0.25">
      <c r="A4" s="3" t="s">
        <v>12</v>
      </c>
      <c r="B4" s="25" t="s">
        <v>11</v>
      </c>
      <c r="C4" s="36">
        <v>2</v>
      </c>
      <c r="D4" s="36">
        <v>2</v>
      </c>
      <c r="E4" s="12">
        <v>2</v>
      </c>
      <c r="F4" s="22">
        <f>SUM(G4:N4)</f>
        <v>29000</v>
      </c>
      <c r="G4">
        <f>$B$23*C4</f>
        <v>3000</v>
      </c>
      <c r="H4">
        <f>$B$24*C4</f>
        <v>5000</v>
      </c>
      <c r="I4">
        <f>$B$25*C4</f>
        <v>5000</v>
      </c>
      <c r="J4">
        <f>$B$26*C4</f>
        <v>3200</v>
      </c>
      <c r="K4">
        <f>$B$29*C4</f>
        <v>6200</v>
      </c>
      <c r="L4">
        <f>$B$30*C4</f>
        <v>3600</v>
      </c>
      <c r="M4">
        <f>$B$31*E4</f>
        <v>2000</v>
      </c>
      <c r="N4">
        <f>$B$32*E4</f>
        <v>1000</v>
      </c>
    </row>
    <row r="5" spans="1:14" x14ac:dyDescent="0.25">
      <c r="A5" s="16" t="s">
        <v>9</v>
      </c>
      <c r="B5" s="24" t="s">
        <v>8</v>
      </c>
      <c r="C5" s="14">
        <v>7</v>
      </c>
      <c r="D5" s="14"/>
      <c r="E5" s="15"/>
      <c r="F5" s="22">
        <f>SUM(G5:N5)</f>
        <v>91000</v>
      </c>
      <c r="G5">
        <f>$B$23*C5</f>
        <v>10500</v>
      </c>
      <c r="H5">
        <f>$B$24*C5</f>
        <v>17500</v>
      </c>
      <c r="I5">
        <f>$B$25*C5</f>
        <v>17500</v>
      </c>
      <c r="J5">
        <f>$B$26*C5</f>
        <v>11200</v>
      </c>
      <c r="K5">
        <f>$B$29*C5</f>
        <v>21700</v>
      </c>
      <c r="L5">
        <f>$B$30*C5</f>
        <v>12600</v>
      </c>
      <c r="M5">
        <f>$B$31*E5</f>
        <v>0</v>
      </c>
      <c r="N5">
        <f>$B$32*E5</f>
        <v>0</v>
      </c>
    </row>
    <row r="6" spans="1:14" x14ac:dyDescent="0.25">
      <c r="A6" s="16" t="s">
        <v>9</v>
      </c>
      <c r="B6" s="24" t="s">
        <v>31</v>
      </c>
      <c r="C6" s="36">
        <v>1</v>
      </c>
      <c r="D6" s="36"/>
      <c r="E6" s="12"/>
      <c r="F6" s="22">
        <f t="shared" ref="F6:F9" si="0">SUM(G6:N6)</f>
        <v>13000</v>
      </c>
      <c r="G6">
        <f t="shared" ref="G6:G9" si="1">$B$23*C6</f>
        <v>1500</v>
      </c>
      <c r="H6">
        <f t="shared" ref="H6:H9" si="2">$B$24*C6</f>
        <v>2500</v>
      </c>
      <c r="I6">
        <f t="shared" ref="I6:I9" si="3">$B$25*C6</f>
        <v>2500</v>
      </c>
      <c r="J6">
        <f t="shared" ref="J6:J9" si="4">$B$26*C6</f>
        <v>1600</v>
      </c>
      <c r="K6">
        <f t="shared" ref="K6:K9" si="5">$B$29*C6</f>
        <v>3100</v>
      </c>
      <c r="L6">
        <f t="shared" ref="L6:L9" si="6">$B$30*C6</f>
        <v>1800</v>
      </c>
      <c r="M6">
        <f t="shared" ref="M6:M9" si="7">$B$31*E6</f>
        <v>0</v>
      </c>
      <c r="N6">
        <f t="shared" ref="N6:N9" si="8">$B$32*E6</f>
        <v>0</v>
      </c>
    </row>
    <row r="7" spans="1:14" x14ac:dyDescent="0.25">
      <c r="A7" s="16" t="s">
        <v>9</v>
      </c>
      <c r="B7" s="24" t="s">
        <v>32</v>
      </c>
      <c r="C7" s="36">
        <v>1</v>
      </c>
      <c r="D7" s="36"/>
      <c r="E7" s="12"/>
      <c r="F7" s="22">
        <f>SUM(G7:N7)</f>
        <v>13000</v>
      </c>
      <c r="G7">
        <f t="shared" si="1"/>
        <v>1500</v>
      </c>
      <c r="H7">
        <f t="shared" si="2"/>
        <v>2500</v>
      </c>
      <c r="I7">
        <f t="shared" si="3"/>
        <v>2500</v>
      </c>
      <c r="J7">
        <f t="shared" si="4"/>
        <v>1600</v>
      </c>
      <c r="K7">
        <f t="shared" si="5"/>
        <v>3100</v>
      </c>
      <c r="L7">
        <f t="shared" si="6"/>
        <v>1800</v>
      </c>
      <c r="M7">
        <f t="shared" si="7"/>
        <v>0</v>
      </c>
      <c r="N7">
        <f t="shared" si="8"/>
        <v>0</v>
      </c>
    </row>
    <row r="8" spans="1:14" x14ac:dyDescent="0.25">
      <c r="A8" s="16" t="s">
        <v>9</v>
      </c>
      <c r="B8" s="24" t="s">
        <v>33</v>
      </c>
      <c r="C8" s="36">
        <v>1</v>
      </c>
      <c r="D8" s="36"/>
      <c r="E8" s="12"/>
      <c r="F8" s="22">
        <f t="shared" si="0"/>
        <v>13000</v>
      </c>
      <c r="G8">
        <f t="shared" si="1"/>
        <v>1500</v>
      </c>
      <c r="H8">
        <f t="shared" si="2"/>
        <v>2500</v>
      </c>
      <c r="I8">
        <f t="shared" si="3"/>
        <v>2500</v>
      </c>
      <c r="J8">
        <f t="shared" si="4"/>
        <v>1600</v>
      </c>
      <c r="K8">
        <f t="shared" si="5"/>
        <v>3100</v>
      </c>
      <c r="L8">
        <f t="shared" si="6"/>
        <v>1800</v>
      </c>
      <c r="M8">
        <f t="shared" si="7"/>
        <v>0</v>
      </c>
      <c r="N8">
        <f t="shared" si="8"/>
        <v>0</v>
      </c>
    </row>
    <row r="9" spans="1:14" x14ac:dyDescent="0.25">
      <c r="A9" s="16" t="s">
        <v>9</v>
      </c>
      <c r="B9" s="24" t="s">
        <v>36</v>
      </c>
      <c r="C9" s="36">
        <v>1</v>
      </c>
      <c r="D9" s="36"/>
      <c r="E9" s="12"/>
      <c r="F9" s="22">
        <f t="shared" si="0"/>
        <v>13000</v>
      </c>
      <c r="G9">
        <f t="shared" si="1"/>
        <v>1500</v>
      </c>
      <c r="H9">
        <f t="shared" si="2"/>
        <v>2500</v>
      </c>
      <c r="I9">
        <f t="shared" si="3"/>
        <v>2500</v>
      </c>
      <c r="J9">
        <f t="shared" si="4"/>
        <v>1600</v>
      </c>
      <c r="K9">
        <f t="shared" si="5"/>
        <v>3100</v>
      </c>
      <c r="L9">
        <f t="shared" si="6"/>
        <v>1800</v>
      </c>
      <c r="M9">
        <f t="shared" si="7"/>
        <v>0</v>
      </c>
      <c r="N9">
        <f t="shared" si="8"/>
        <v>0</v>
      </c>
    </row>
    <row r="10" spans="1:14" x14ac:dyDescent="0.25">
      <c r="A10" s="16" t="s">
        <v>9</v>
      </c>
      <c r="B10" s="25" t="s">
        <v>30</v>
      </c>
      <c r="C10" s="36">
        <v>2</v>
      </c>
      <c r="D10" s="36"/>
      <c r="E10" s="12"/>
      <c r="F10" s="22">
        <f>SUM(G10:N10)</f>
        <v>26000</v>
      </c>
      <c r="G10">
        <f>$B$23*C10</f>
        <v>3000</v>
      </c>
      <c r="H10">
        <f>$B$24*C10</f>
        <v>5000</v>
      </c>
      <c r="I10">
        <f>$B$25*C10</f>
        <v>5000</v>
      </c>
      <c r="J10">
        <f>$B$26*C10</f>
        <v>3200</v>
      </c>
      <c r="K10">
        <f>$B$29*C10</f>
        <v>6200</v>
      </c>
      <c r="L10">
        <f>$B$30*C10</f>
        <v>3600</v>
      </c>
      <c r="M10">
        <f>$B$31*E10</f>
        <v>0</v>
      </c>
      <c r="N10">
        <f>$B$32*E10</f>
        <v>0</v>
      </c>
    </row>
    <row r="11" spans="1:14" x14ac:dyDescent="0.25">
      <c r="A11" s="16" t="s">
        <v>9</v>
      </c>
      <c r="B11" s="26" t="s">
        <v>16</v>
      </c>
      <c r="C11" s="17">
        <v>1</v>
      </c>
      <c r="D11" s="17"/>
      <c r="E11" s="18"/>
      <c r="F11" s="22">
        <f>SUM(G11:N11)</f>
        <v>13000</v>
      </c>
      <c r="G11">
        <f>$B$23*C11</f>
        <v>1500</v>
      </c>
      <c r="H11">
        <f>$B$24*C11</f>
        <v>2500</v>
      </c>
      <c r="I11">
        <f>$B$25*C11</f>
        <v>2500</v>
      </c>
      <c r="J11">
        <f>$B$26*C11</f>
        <v>1600</v>
      </c>
      <c r="K11">
        <f>$B$29*C11</f>
        <v>3100</v>
      </c>
      <c r="L11">
        <f>$B$30*C11</f>
        <v>1800</v>
      </c>
      <c r="M11">
        <f>$B$31*E11</f>
        <v>0</v>
      </c>
      <c r="N11">
        <f>$B$32*E11</f>
        <v>0</v>
      </c>
    </row>
    <row r="12" spans="1:14" x14ac:dyDescent="0.25">
      <c r="A12" s="16" t="s">
        <v>9</v>
      </c>
      <c r="B12" s="25" t="s">
        <v>18</v>
      </c>
      <c r="C12" s="36"/>
      <c r="D12" s="36">
        <v>1</v>
      </c>
      <c r="E12" s="12">
        <v>1</v>
      </c>
      <c r="F12" s="22">
        <f>SUM(G12:N12)</f>
        <v>1500</v>
      </c>
      <c r="G12">
        <f>$B$23*C12</f>
        <v>0</v>
      </c>
      <c r="H12">
        <f>$B$24*C12</f>
        <v>0</v>
      </c>
      <c r="I12">
        <f>$B$25*C12</f>
        <v>0</v>
      </c>
      <c r="J12">
        <f>$B$26*C12</f>
        <v>0</v>
      </c>
      <c r="K12">
        <f>$B$29*C12</f>
        <v>0</v>
      </c>
      <c r="L12">
        <f>$B$30*C12</f>
        <v>0</v>
      </c>
      <c r="M12">
        <f>$B$31*E12</f>
        <v>1000</v>
      </c>
      <c r="N12">
        <f>$B$32*E12</f>
        <v>500</v>
      </c>
    </row>
    <row r="13" spans="1:14" x14ac:dyDescent="0.25">
      <c r="A13" s="16" t="s">
        <v>9</v>
      </c>
      <c r="B13" s="25" t="s">
        <v>17</v>
      </c>
      <c r="C13" s="17">
        <v>2</v>
      </c>
      <c r="D13" s="17"/>
      <c r="E13" s="18"/>
      <c r="F13" s="22">
        <f>SUM(G13:N13)</f>
        <v>26000</v>
      </c>
      <c r="G13">
        <f>$B$23*C13</f>
        <v>3000</v>
      </c>
      <c r="H13">
        <f>$B$24*C13</f>
        <v>5000</v>
      </c>
      <c r="I13">
        <f>$B$25*C13</f>
        <v>5000</v>
      </c>
      <c r="J13">
        <f>$B$26*C13</f>
        <v>3200</v>
      </c>
      <c r="K13">
        <f>$B$29*C13</f>
        <v>6200</v>
      </c>
      <c r="L13">
        <f>$B$30*C13</f>
        <v>3600</v>
      </c>
      <c r="M13">
        <f>$B$31*E13</f>
        <v>0</v>
      </c>
      <c r="N13">
        <f>$B$32*E13</f>
        <v>0</v>
      </c>
    </row>
    <row r="14" spans="1:14" x14ac:dyDescent="0.25">
      <c r="A14" s="16" t="s">
        <v>9</v>
      </c>
      <c r="B14" s="25" t="s">
        <v>34</v>
      </c>
      <c r="C14" s="36">
        <v>1</v>
      </c>
      <c r="D14" s="36"/>
      <c r="E14" s="12"/>
      <c r="F14" s="22">
        <f t="shared" ref="F14:F15" si="9">SUM(G14:N14)</f>
        <v>13000</v>
      </c>
      <c r="G14" s="1">
        <f>$B$23*C14</f>
        <v>1500</v>
      </c>
      <c r="H14">
        <f>$B$24*C14</f>
        <v>2500</v>
      </c>
      <c r="I14">
        <f>$B$25*C14</f>
        <v>2500</v>
      </c>
      <c r="J14">
        <f>$B$26*C14</f>
        <v>1600</v>
      </c>
      <c r="K14">
        <f>$B$29*C14</f>
        <v>3100</v>
      </c>
      <c r="L14">
        <f>$B$30*C14</f>
        <v>1800</v>
      </c>
      <c r="M14">
        <f t="shared" ref="M14:M15" si="10">$B$31*E14</f>
        <v>0</v>
      </c>
      <c r="N14">
        <f t="shared" ref="N14:N15" si="11">$B$32*E14</f>
        <v>0</v>
      </c>
    </row>
    <row r="15" spans="1:14" ht="15.75" thickBot="1" x14ac:dyDescent="0.3">
      <c r="A15" s="16" t="s">
        <v>9</v>
      </c>
      <c r="B15" s="25" t="s">
        <v>35</v>
      </c>
      <c r="C15" s="36">
        <v>1</v>
      </c>
      <c r="D15" s="36"/>
      <c r="E15" s="12"/>
      <c r="F15" s="22">
        <f t="shared" si="9"/>
        <v>13000</v>
      </c>
      <c r="G15" s="1">
        <f>$B$23*C15</f>
        <v>1500</v>
      </c>
      <c r="H15">
        <f>$B$24*C15</f>
        <v>2500</v>
      </c>
      <c r="I15">
        <f>$B$25*C15</f>
        <v>2500</v>
      </c>
      <c r="J15">
        <f>$B$26*C15</f>
        <v>1600</v>
      </c>
      <c r="K15">
        <f>$B$29*C15</f>
        <v>3100</v>
      </c>
      <c r="L15">
        <f>$B$30*C15</f>
        <v>1800</v>
      </c>
      <c r="M15">
        <f t="shared" si="10"/>
        <v>0</v>
      </c>
      <c r="N15">
        <f t="shared" si="11"/>
        <v>0</v>
      </c>
    </row>
    <row r="16" spans="1:14" ht="15.75" thickBot="1" x14ac:dyDescent="0.3">
      <c r="A16" s="33" t="s">
        <v>2</v>
      </c>
      <c r="B16" s="35"/>
      <c r="C16" s="5"/>
      <c r="D16" s="5"/>
      <c r="E16" s="6"/>
      <c r="F16"/>
      <c r="G16"/>
    </row>
    <row r="17" spans="1:14" ht="15.75" thickBot="1" x14ac:dyDescent="0.3">
      <c r="A17" s="4" t="s">
        <v>5</v>
      </c>
      <c r="B17" s="4" t="s">
        <v>6</v>
      </c>
      <c r="C17" s="10"/>
      <c r="D17" s="10"/>
      <c r="E17" s="11"/>
      <c r="F17"/>
      <c r="G17"/>
    </row>
    <row r="18" spans="1:14" x14ac:dyDescent="0.25">
      <c r="A18" s="28"/>
      <c r="B18" s="29" t="s">
        <v>3</v>
      </c>
      <c r="C18" s="30">
        <v>14</v>
      </c>
      <c r="D18" s="31">
        <v>11</v>
      </c>
      <c r="E18" s="32">
        <v>15</v>
      </c>
      <c r="F18" s="22">
        <f>SUM(G18:N18)</f>
        <v>204500</v>
      </c>
      <c r="G18">
        <f>$B$23*C18</f>
        <v>21000</v>
      </c>
      <c r="H18">
        <f>$B$24*C18</f>
        <v>35000</v>
      </c>
      <c r="I18">
        <f>$B$25*C18</f>
        <v>35000</v>
      </c>
      <c r="J18">
        <f>$B$26*C18</f>
        <v>22400</v>
      </c>
      <c r="K18">
        <f>$B$29*C18</f>
        <v>43400</v>
      </c>
      <c r="L18">
        <f>$B$30*C18</f>
        <v>25200</v>
      </c>
      <c r="M18">
        <f>$B$31*E18</f>
        <v>15000</v>
      </c>
      <c r="N18">
        <f>$B$32*E18</f>
        <v>7500</v>
      </c>
    </row>
    <row r="19" spans="1:14" ht="15.75" thickBot="1" x14ac:dyDescent="0.3">
      <c r="A19" s="4"/>
      <c r="B19" s="27" t="s">
        <v>13</v>
      </c>
      <c r="C19" s="9">
        <v>3</v>
      </c>
      <c r="D19" s="10">
        <v>2</v>
      </c>
      <c r="E19" s="11">
        <v>2</v>
      </c>
      <c r="F19" s="22">
        <f>SUM(G19:N19)</f>
        <v>42000</v>
      </c>
      <c r="G19">
        <f>$B$23*C19</f>
        <v>4500</v>
      </c>
      <c r="H19">
        <f>$B$24*C19</f>
        <v>7500</v>
      </c>
      <c r="I19">
        <f>$B$25*C19</f>
        <v>7500</v>
      </c>
      <c r="J19">
        <f>$B$26*C19</f>
        <v>4800</v>
      </c>
      <c r="K19">
        <f>$B$29*C19</f>
        <v>9300</v>
      </c>
      <c r="L19">
        <f>$B$30*C19</f>
        <v>5400</v>
      </c>
      <c r="M19">
        <f>$B$31*E19</f>
        <v>2000</v>
      </c>
      <c r="N19">
        <f>$B$32*E19</f>
        <v>1000</v>
      </c>
    </row>
    <row r="22" spans="1:14" x14ac:dyDescent="0.25">
      <c r="A22" s="19" t="s">
        <v>19</v>
      </c>
      <c r="B22" s="19" t="s">
        <v>20</v>
      </c>
    </row>
    <row r="23" spans="1:14" x14ac:dyDescent="0.25">
      <c r="A23" s="20" t="s">
        <v>1</v>
      </c>
      <c r="B23" s="20">
        <v>1500</v>
      </c>
      <c r="E23" s="36"/>
    </row>
    <row r="24" spans="1:14" x14ac:dyDescent="0.25">
      <c r="A24" s="20" t="s">
        <v>7</v>
      </c>
      <c r="B24" s="20">
        <v>2500</v>
      </c>
      <c r="E24" s="36"/>
    </row>
    <row r="25" spans="1:14" x14ac:dyDescent="0.25">
      <c r="A25" s="20" t="s">
        <v>21</v>
      </c>
      <c r="B25" s="20">
        <v>2500</v>
      </c>
      <c r="C25" s="36"/>
      <c r="D25" s="36"/>
      <c r="E25" s="36"/>
    </row>
    <row r="26" spans="1:14" x14ac:dyDescent="0.25">
      <c r="A26" s="20" t="s">
        <v>22</v>
      </c>
      <c r="B26" s="20">
        <v>1600</v>
      </c>
      <c r="C26" s="36"/>
      <c r="D26" s="36"/>
      <c r="E26" s="36"/>
    </row>
    <row r="27" spans="1:14" x14ac:dyDescent="0.25">
      <c r="A27" s="20" t="s">
        <v>23</v>
      </c>
      <c r="B27" s="20">
        <v>300</v>
      </c>
      <c r="C27" s="36"/>
      <c r="D27" s="36"/>
      <c r="E27" s="36"/>
    </row>
    <row r="28" spans="1:14" x14ac:dyDescent="0.25">
      <c r="A28" s="20" t="s">
        <v>22</v>
      </c>
      <c r="B28" s="20">
        <v>0</v>
      </c>
      <c r="C28" s="36"/>
      <c r="D28" s="36"/>
      <c r="E28" s="36"/>
    </row>
    <row r="29" spans="1:14" x14ac:dyDescent="0.25">
      <c r="A29" s="20" t="s">
        <v>24</v>
      </c>
      <c r="B29" s="20">
        <v>3100</v>
      </c>
      <c r="E29" s="36"/>
    </row>
    <row r="30" spans="1:14" x14ac:dyDescent="0.25">
      <c r="A30" s="20" t="s">
        <v>25</v>
      </c>
      <c r="B30" s="20">
        <v>1800</v>
      </c>
      <c r="E30" s="36"/>
    </row>
    <row r="31" spans="1:14" x14ac:dyDescent="0.25">
      <c r="A31" s="20" t="s">
        <v>26</v>
      </c>
      <c r="B31" s="20">
        <v>1000</v>
      </c>
      <c r="C31" s="36"/>
      <c r="D31" s="36"/>
      <c r="E31" s="36"/>
    </row>
    <row r="32" spans="1:14" x14ac:dyDescent="0.25">
      <c r="A32" s="20" t="s">
        <v>27</v>
      </c>
      <c r="B32" s="20">
        <v>500</v>
      </c>
      <c r="C32" s="36"/>
      <c r="D32" s="36"/>
      <c r="E32" s="36"/>
    </row>
    <row r="33" spans="1:5" x14ac:dyDescent="0.25">
      <c r="A33" s="37"/>
      <c r="B33" s="38">
        <f>SUM(B23:B32)</f>
        <v>14800</v>
      </c>
      <c r="C33" s="36"/>
      <c r="D33" s="36"/>
      <c r="E33" s="36"/>
    </row>
  </sheetData>
  <mergeCells count="2">
    <mergeCell ref="A1:B1"/>
    <mergeCell ref="A16:B16"/>
  </mergeCells>
  <phoneticPr fontId="2" type="noConversion"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List1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Tomáš Sekanina</dc:creator>
  <cp:lastModifiedBy>Tomáš Sekanina</cp:lastModifiedBy>
  <dcterms:created xsi:type="dcterms:W3CDTF">2026-06-15T08:05:00Z</dcterms:created>
  <dcterms:modified xsi:type="dcterms:W3CDTF">2026-10-08T12:17:54Z</dcterms:modified>
</cp:coreProperties>
</file>